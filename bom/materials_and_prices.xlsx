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EG_from_scratch\bom\"/>
    </mc:Choice>
  </mc:AlternateContent>
  <xr:revisionPtr revIDLastSave="0" documentId="13_ncr:1_{48901808-B117-4B37-A676-7CD158674CDA}" xr6:coauthVersionLast="47" xr6:coauthVersionMax="47" xr10:uidLastSave="{00000000-0000-0000-0000-000000000000}"/>
  <bookViews>
    <workbookView xWindow="-108" yWindow="-108" windowWidth="23256" windowHeight="12456" xr2:uid="{A627486D-ABC7-43E3-B1B9-DAB262F2474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1" l="1"/>
  <c r="F13" i="1" s="1"/>
</calcChain>
</file>

<file path=xl/sharedStrings.xml><?xml version="1.0" encoding="utf-8"?>
<sst xmlns="http://schemas.openxmlformats.org/spreadsheetml/2006/main" count="43" uniqueCount="37">
  <si>
    <t>Item</t>
  </si>
  <si>
    <t>Shipping</t>
  </si>
  <si>
    <t>Total (USD)</t>
  </si>
  <si>
    <t>Total (BRL)</t>
  </si>
  <si>
    <t>ESP32</t>
  </si>
  <si>
    <t>https://www.aliexpress.com/item/3256806677478076.html</t>
  </si>
  <si>
    <t>Price (USD)</t>
  </si>
  <si>
    <t>Usually Free</t>
  </si>
  <si>
    <t>Jumper Cables</t>
  </si>
  <si>
    <t>https://www.aliexpress.com/item/1005007046465880.html</t>
  </si>
  <si>
    <t>ADS1292R Module</t>
  </si>
  <si>
    <t>https://www.aliexpress.us/item/3256805267039105.html</t>
  </si>
  <si>
    <t>Gold Cup Electrodes</t>
  </si>
  <si>
    <t>Quantity</t>
  </si>
  <si>
    <t>1x</t>
  </si>
  <si>
    <t>3Pcs-1Set</t>
  </si>
  <si>
    <t>https://pt.aliexpress.com/item/1005005209000522.html</t>
  </si>
  <si>
    <t>https://www.aliexpress.us/item/3256807269711005.html</t>
  </si>
  <si>
    <t>1x (Male 3 Pole)</t>
  </si>
  <si>
    <t>1x (Type C 30Pin)</t>
  </si>
  <si>
    <t>3x (1 silicone wire)</t>
  </si>
  <si>
    <t>Protoboard</t>
  </si>
  <si>
    <t>https://www.aliexpress.com/item/3256810240512195.html</t>
  </si>
  <si>
    <t>1pcs</t>
  </si>
  <si>
    <t>https://www.aliexpress.com/item/3256806674760478.html</t>
  </si>
  <si>
    <t>Capacitors</t>
  </si>
  <si>
    <t>1x 47 pF, 1x 100 nF</t>
  </si>
  <si>
    <t>3.5mm Jack to Wire</t>
  </si>
  <si>
    <t>USD -&gt; BRL Conversion</t>
  </si>
  <si>
    <t>https://shop.openbci.com/products/ten20-conductive-paste-8oz-jar</t>
  </si>
  <si>
    <t>Conductive Paste Ten20</t>
  </si>
  <si>
    <t>Vary</t>
  </si>
  <si>
    <t>!! Check Bill of Materials on the repository for cheaper alternatives/tips for better pricing</t>
  </si>
  <si>
    <t>https://www.aliexpress.us/item/3256806910268724.html</t>
  </si>
  <si>
    <t>Buzzer Module</t>
  </si>
  <si>
    <t>1x (passive buzzer)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</si>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</sst>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5" fontId="0" fillId="0" borderId="3" xfId="1" applyNumberFormat="1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164" fontId="0" fillId="0" borderId="3" xfId="1" applyNumberFormat="1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2" applyBorder="1" applyAlignment="1">
      <alignment vertical="center"/>
    </xf>
    <xf numFmtId="0" fontId="3" fillId="0" borderId="7" xfId="2" applyBorder="1" applyAlignment="1">
      <alignment vertical="center"/>
    </xf>
    <xf numFmtId="0" fontId="3" fillId="0" borderId="8" xfId="2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9" xfId="1" applyNumberFormat="1" applyFont="1" applyBorder="1" applyAlignment="1">
      <alignment vertical="center"/>
    </xf>
    <xf numFmtId="164" fontId="0" fillId="0" borderId="10" xfId="1" applyNumberFormat="1" applyFont="1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3" fillId="0" borderId="15" xfId="2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vertical="center"/>
    </xf>
    <xf numFmtId="164" fontId="0" fillId="0" borderId="16" xfId="1" applyNumberFormat="1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3">
    <cellStyle name="Lien hypertexte" xfId="2" builtinId="8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openbci.com/products/ten20-conductive-paste-8oz-jar" TargetMode="External"/><Relationship Id="rId3" Type="http://schemas.openxmlformats.org/officeDocument/2006/relationships/hyperlink" Target="https://www.aliexpress.us/item/3256805267039105.html" TargetMode="External"/><Relationship Id="rId7" Type="http://schemas.openxmlformats.org/officeDocument/2006/relationships/hyperlink" Target="https://www.aliexpress.com/item/3256806674760478.html" TargetMode="External"/><Relationship Id="rId2" Type="http://schemas.openxmlformats.org/officeDocument/2006/relationships/hyperlink" Target="https://www.aliexpress.com/item/1005007046465880.html" TargetMode="External"/><Relationship Id="rId1" Type="http://schemas.openxmlformats.org/officeDocument/2006/relationships/hyperlink" Target="https://www.aliexpress.com/item/3256806677478076.html" TargetMode="External"/><Relationship Id="rId6" Type="http://schemas.openxmlformats.org/officeDocument/2006/relationships/hyperlink" Target="https://www.aliexpress.com/item/3256810240512195.html" TargetMode="External"/><Relationship Id="rId5" Type="http://schemas.openxmlformats.org/officeDocument/2006/relationships/hyperlink" Target="https://www.aliexpress.us/item/3256807269711005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pt.aliexpress.com/item/1005005209000522.html" TargetMode="External"/><Relationship Id="rId9" Type="http://schemas.openxmlformats.org/officeDocument/2006/relationships/hyperlink" Target="https://www.aliexpress.us/item/32568069102687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7785-A3D8-4983-8D7D-21DED5FB1C18}">
  <dimension ref="B1:H15"/>
  <sheetViews>
    <sheetView tabSelected="1" workbookViewId="0">
      <selection activeCell="B3" sqref="B3"/>
    </sheetView>
  </sheetViews>
  <sheetFormatPr baseColWidth="10" defaultRowHeight="14.4" x14ac:dyDescent="0.3"/>
  <cols>
    <col min="2" max="2" width="52.44140625" customWidth="1"/>
    <col min="3" max="3" width="20.88671875" customWidth="1"/>
    <col min="4" max="4" width="20.5546875" customWidth="1"/>
    <col min="5" max="5" width="12.77734375" customWidth="1"/>
    <col min="6" max="6" width="15.88671875" customWidth="1"/>
  </cols>
  <sheetData>
    <row r="1" spans="2:8" ht="15" thickBot="1" x14ac:dyDescent="0.35"/>
    <row r="2" spans="2:8" ht="30" customHeight="1" thickBot="1" x14ac:dyDescent="0.35">
      <c r="B2" s="7" t="s">
        <v>36</v>
      </c>
      <c r="C2" s="8" t="s">
        <v>0</v>
      </c>
      <c r="D2" s="8" t="s">
        <v>13</v>
      </c>
      <c r="E2" s="9" t="s">
        <v>6</v>
      </c>
      <c r="F2" s="8" t="s">
        <v>1</v>
      </c>
    </row>
    <row r="3" spans="2:8" ht="19.95" customHeight="1" x14ac:dyDescent="0.3">
      <c r="B3" s="10" t="s">
        <v>5</v>
      </c>
      <c r="C3" s="23" t="s">
        <v>4</v>
      </c>
      <c r="D3" s="13" t="s">
        <v>19</v>
      </c>
      <c r="E3" s="20">
        <v>9.39</v>
      </c>
      <c r="F3" s="16" t="s">
        <v>7</v>
      </c>
    </row>
    <row r="4" spans="2:8" ht="19.95" customHeight="1" x14ac:dyDescent="0.3">
      <c r="B4" s="11" t="s">
        <v>11</v>
      </c>
      <c r="C4" s="24" t="s">
        <v>10</v>
      </c>
      <c r="D4" s="14" t="s">
        <v>14</v>
      </c>
      <c r="E4" s="21">
        <v>35.659999999999997</v>
      </c>
      <c r="F4" s="17">
        <v>5.87</v>
      </c>
    </row>
    <row r="5" spans="2:8" ht="19.95" customHeight="1" x14ac:dyDescent="0.3">
      <c r="B5" s="11" t="s">
        <v>29</v>
      </c>
      <c r="C5" s="24" t="s">
        <v>30</v>
      </c>
      <c r="D5" s="14" t="s">
        <v>14</v>
      </c>
      <c r="E5" s="21">
        <v>24.99</v>
      </c>
      <c r="F5" s="17" t="s">
        <v>31</v>
      </c>
    </row>
    <row r="6" spans="2:8" ht="19.95" customHeight="1" x14ac:dyDescent="0.3">
      <c r="B6" s="11" t="s">
        <v>16</v>
      </c>
      <c r="C6" s="24" t="s">
        <v>12</v>
      </c>
      <c r="D6" s="14" t="s">
        <v>20</v>
      </c>
      <c r="E6" s="21">
        <v>10</v>
      </c>
      <c r="F6" s="17">
        <v>5.43</v>
      </c>
    </row>
    <row r="7" spans="2:8" ht="19.95" customHeight="1" x14ac:dyDescent="0.3">
      <c r="B7" s="11" t="s">
        <v>9</v>
      </c>
      <c r="C7" s="24" t="s">
        <v>8</v>
      </c>
      <c r="D7" s="14" t="s">
        <v>15</v>
      </c>
      <c r="E7" s="21">
        <v>2.59</v>
      </c>
      <c r="F7" s="18" t="s">
        <v>7</v>
      </c>
    </row>
    <row r="8" spans="2:8" ht="19.95" customHeight="1" x14ac:dyDescent="0.3">
      <c r="B8" s="11" t="s">
        <v>17</v>
      </c>
      <c r="C8" s="24" t="s">
        <v>27</v>
      </c>
      <c r="D8" s="14" t="s">
        <v>18</v>
      </c>
      <c r="E8" s="21">
        <v>2</v>
      </c>
      <c r="F8" s="18" t="s">
        <v>7</v>
      </c>
    </row>
    <row r="9" spans="2:8" ht="19.95" customHeight="1" x14ac:dyDescent="0.3">
      <c r="B9" s="11" t="s">
        <v>22</v>
      </c>
      <c r="C9" s="24" t="s">
        <v>21</v>
      </c>
      <c r="D9" s="14" t="s">
        <v>23</v>
      </c>
      <c r="E9" s="21">
        <v>1.94</v>
      </c>
      <c r="F9" s="18" t="s">
        <v>7</v>
      </c>
    </row>
    <row r="10" spans="2:8" ht="19.95" customHeight="1" x14ac:dyDescent="0.3">
      <c r="B10" s="26" t="s">
        <v>33</v>
      </c>
      <c r="C10" s="27" t="s">
        <v>34</v>
      </c>
      <c r="D10" s="28" t="s">
        <v>35</v>
      </c>
      <c r="E10" s="29">
        <v>2.41</v>
      </c>
      <c r="F10" s="30" t="s">
        <v>7</v>
      </c>
    </row>
    <row r="11" spans="2:8" ht="19.95" customHeight="1" thickBot="1" x14ac:dyDescent="0.35">
      <c r="B11" s="12" t="s">
        <v>24</v>
      </c>
      <c r="C11" s="25" t="s">
        <v>25</v>
      </c>
      <c r="D11" s="15" t="s">
        <v>26</v>
      </c>
      <c r="E11" s="22">
        <v>6.81</v>
      </c>
      <c r="F11" s="19" t="s">
        <v>7</v>
      </c>
    </row>
    <row r="12" spans="2:8" ht="31.8" customHeight="1" thickBot="1" x14ac:dyDescent="0.35">
      <c r="E12" s="5" t="s">
        <v>2</v>
      </c>
      <c r="F12" s="6">
        <f>SUM(E3:E11)+SUM(F3:F11)</f>
        <v>107.08999999999999</v>
      </c>
      <c r="H12" s="2" t="s">
        <v>28</v>
      </c>
    </row>
    <row r="13" spans="2:8" ht="32.4" customHeight="1" thickBot="1" x14ac:dyDescent="0.35">
      <c r="E13" s="3" t="s">
        <v>3</v>
      </c>
      <c r="F13" s="4">
        <f>F12*H13</f>
        <v>535.44999999999993</v>
      </c>
      <c r="H13" s="1">
        <v>5</v>
      </c>
    </row>
    <row r="15" spans="2:8" ht="15.6" x14ac:dyDescent="0.3">
      <c r="B15" s="31" t="s">
        <v>32</v>
      </c>
      <c r="C15" s="31"/>
      <c r="D15" s="31"/>
      <c r="E15" s="31"/>
      <c r="F15" s="31"/>
    </row>
  </sheetData>
  <mergeCells count="1">
    <mergeCell ref="B15:F15"/>
  </mergeCells>
  <hyperlinks>
    <hyperlink ref="B3" r:id="rId1" xr:uid="{9D177F47-E884-48FC-8CB5-A330EC99B9E8}"/>
    <hyperlink ref="B7" r:id="rId2" xr:uid="{C55E0763-94DE-419A-ABD2-EECCAB479F6E}"/>
    <hyperlink ref="B4" r:id="rId3" xr:uid="{089353AE-EDC4-4617-907C-70A96169C35B}"/>
    <hyperlink ref="B6" r:id="rId4" xr:uid="{2AF5684D-4821-4BFF-BD73-82546C4FDAB4}"/>
    <hyperlink ref="B8" r:id="rId5" xr:uid="{AA517CC5-E0FA-433A-80AE-855E81D4C6D3}"/>
    <hyperlink ref="B9" r:id="rId6" xr:uid="{574616F6-83BF-4886-B772-FF152A55B246}"/>
    <hyperlink ref="B11" r:id="rId7" xr:uid="{183F83D1-C38F-45B1-9943-FF5782A09B74}"/>
    <hyperlink ref="B5" r:id="rId8" xr:uid="{12526D91-1B6F-4693-A716-A87982418F79}"/>
    <hyperlink ref="B10" r:id="rId9" xr:uid="{9AC69DF1-C4DE-4DBC-8CC0-6C09115F9796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Fernandes</dc:creator>
  <cp:lastModifiedBy>Rafael Fernandes</cp:lastModifiedBy>
  <dcterms:created xsi:type="dcterms:W3CDTF">2026-05-12T16:23:40Z</dcterms:created>
  <dcterms:modified xsi:type="dcterms:W3CDTF">2026-05-13T04:03:14Z</dcterms:modified>
</cp:coreProperties>
</file>